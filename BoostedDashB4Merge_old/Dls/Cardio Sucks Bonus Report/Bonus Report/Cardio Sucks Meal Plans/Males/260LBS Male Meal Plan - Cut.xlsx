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4940" windowHeight="1200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D21" i="1"/>
  <c r="D28" i="1"/>
  <c r="D36" i="1"/>
  <c r="D41" i="1"/>
  <c r="E41" i="1"/>
  <c r="F41" i="1"/>
  <c r="G41" i="1"/>
  <c r="G21" i="1"/>
  <c r="F21" i="1"/>
  <c r="E21" i="1"/>
  <c r="D43" i="1" l="1"/>
  <c r="F28" i="1" l="1"/>
  <c r="G12" i="1"/>
  <c r="G36" i="1"/>
  <c r="F36" i="1"/>
  <c r="E36" i="1"/>
  <c r="G28" i="1"/>
  <c r="E28" i="1"/>
  <c r="G43" i="1" l="1"/>
  <c r="F12" i="1"/>
  <c r="F43" i="1" s="1"/>
  <c r="E12" i="1"/>
  <c r="E43" i="1" s="1"/>
</calcChain>
</file>

<file path=xl/sharedStrings.xml><?xml version="1.0" encoding="utf-8"?>
<sst xmlns="http://schemas.openxmlformats.org/spreadsheetml/2006/main" count="51" uniqueCount="44">
  <si>
    <t>LUNCH</t>
  </si>
  <si>
    <t>MEAL</t>
  </si>
  <si>
    <t>FOOD</t>
  </si>
  <si>
    <t>CALORIES</t>
  </si>
  <si>
    <t>PROTEIN</t>
  </si>
  <si>
    <t>CARBS</t>
  </si>
  <si>
    <t>FAT</t>
  </si>
  <si>
    <t>DINNER</t>
  </si>
  <si>
    <t>TARGET</t>
  </si>
  <si>
    <t xml:space="preserve">TOTALS   </t>
  </si>
  <si>
    <t>TOTAL</t>
  </si>
  <si>
    <t>MEAL 1</t>
  </si>
  <si>
    <t>MEAL 2</t>
  </si>
  <si>
    <t>MEAL 3</t>
  </si>
  <si>
    <t>BREAKFAST</t>
  </si>
  <si>
    <t>MEAL 5</t>
  </si>
  <si>
    <t>SNACK</t>
  </si>
  <si>
    <t>WEIGHTLIFTING</t>
  </si>
  <si>
    <t>Recommended: Legion Recharge</t>
  </si>
  <si>
    <t>dry seasonings (if desired)</t>
  </si>
  <si>
    <t xml:space="preserve"> 100g vegetables (broccoli, cauliflower, asparagus, bell pepper, string beans, carrots, onions)</t>
  </si>
  <si>
    <t>POST WORKOUT SHAKE</t>
  </si>
  <si>
    <t>salad (120g romaine, 1/2 carrot, 1/2 cucumber, 1/2 tomato)</t>
  </si>
  <si>
    <t>260LBS MALE MEAL PLAN - CUT</t>
  </si>
  <si>
    <t>2 scoops whey (recommend Legion Whey+)</t>
  </si>
  <si>
    <t>3 tablespoons balsamic vinegar</t>
  </si>
  <si>
    <t>2 egg whites</t>
  </si>
  <si>
    <t>2 whole eggs</t>
  </si>
  <si>
    <t>2 slices whole grain bread</t>
  </si>
  <si>
    <t>20g Feta</t>
  </si>
  <si>
    <t>1 large banana</t>
  </si>
  <si>
    <t>100g mixed berries</t>
  </si>
  <si>
    <t>1 tablespoon jam</t>
  </si>
  <si>
    <t>2 teaspoons butter</t>
  </si>
  <si>
    <t>250ml 1% organic milk</t>
  </si>
  <si>
    <t>MEAL4</t>
  </si>
  <si>
    <t>1/2 tablespoon butter</t>
  </si>
  <si>
    <t>240g sweet potato</t>
  </si>
  <si>
    <t xml:space="preserve">Recommended: 1/2 serving Legion Phoenix </t>
  </si>
  <si>
    <t>Recommended: Legion Triumph</t>
  </si>
  <si>
    <t>Recommended: 1-2 scoops Legion Pulse</t>
  </si>
  <si>
    <t xml:space="preserve">250g chicken breast, trimmed of fat </t>
  </si>
  <si>
    <t>1 serving PB2 Oatcakes from Muscle For Life</t>
  </si>
  <si>
    <t>250g sirloin, trimmed of fat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</si>
</sst>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family val="2"/>
      <scheme val="minor"/>
    </font>
    <font>
      <sz val="36"/>
      <color theme="0"/>
      <name val="Oswald"/>
      <family val="3"/>
      <charset val="1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Lato Black"/>
      <family val="2"/>
    </font>
    <font>
      <b/>
      <sz val="8"/>
      <color rgb="FF000000"/>
      <name val="Lato"/>
      <family val="2"/>
    </font>
    <font>
      <sz val="10"/>
      <color theme="1"/>
      <name val="Calibri"/>
      <family val="2"/>
      <scheme val="minor"/>
    </font>
    <font>
      <b/>
      <sz val="18"/>
      <color theme="0"/>
      <name val="Lato Black"/>
      <family val="2"/>
    </font>
    <font>
      <sz val="18"/>
      <color theme="0"/>
      <name val="Lato Black"/>
      <family val="2"/>
    </font>
    <font>
      <sz val="10"/>
      <color theme="0"/>
      <name val="Lato"/>
      <family val="2"/>
    </font>
    <font>
      <sz val="9"/>
      <color theme="1"/>
      <name val="Lato"/>
      <family val="2"/>
    </font>
    <font>
      <b/>
      <sz val="8"/>
      <name val="Lato"/>
      <family val="2"/>
    </font>
    <font>
      <sz val="9"/>
      <name val="Lato"/>
      <family val="2"/>
    </font>
    <font>
      <b/>
      <sz val="9"/>
      <name val="Lato"/>
      <family val="2"/>
    </font>
    <font>
      <b/>
      <sz val="11"/>
      <color theme="0"/>
      <name val="Lato Black"/>
      <family val="2"/>
    </font>
    <font>
      <sz val="11"/>
      <color theme="0"/>
      <name val="Lato Black"/>
      <family val="2"/>
    </font>
    <font>
      <b/>
      <sz val="8"/>
      <color rgb="FF000000"/>
      <name val="Lato"/>
      <family val="2"/>
    </font>
    <font>
      <b/>
      <sz val="9"/>
      <color rgb="FF000000"/>
      <name val="Lato"/>
      <family val="2"/>
    </font>
  </fonts>
  <fills count="7">
    <fill>
      <patternFill patternType="none"/>
    </fill>
    <fill>
      <patternFill patternType="gray125"/>
    </fill>
    <fill>
      <patternFill patternType="solid">
        <fgColor rgb="FFE540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F0F0F"/>
        <bgColor indexed="64"/>
      </patternFill>
    </fill>
    <fill>
      <patternFill patternType="solid">
        <fgColor rgb="FF171717"/>
        <bgColor indexed="64"/>
      </patternFill>
    </fill>
  </fills>
  <borders count="61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171717"/>
      </left>
      <right style="thin">
        <color rgb="FF171717"/>
      </right>
      <top style="thin">
        <color rgb="FF171717"/>
      </top>
      <bottom style="thin">
        <color rgb="FF171717"/>
      </bottom>
      <diagonal/>
    </border>
    <border>
      <left/>
      <right/>
      <top/>
      <bottom style="thin">
        <color rgb="FF171717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 tint="-0.14966277047029022"/>
      </left>
      <right style="thin">
        <color theme="0" tint="-0.14966277047029022"/>
      </right>
      <top style="thin">
        <color theme="0" tint="-0.14966277047029022"/>
      </top>
      <bottom/>
      <diagonal/>
    </border>
    <border>
      <left style="thin">
        <color theme="0" tint="-0.14966277047029022"/>
      </left>
      <right style="thin">
        <color theme="0" tint="-0.14966277047029022"/>
      </right>
      <top/>
      <bottom/>
      <diagonal/>
    </border>
    <border>
      <left style="thin">
        <color theme="0" tint="-0.14966277047029022"/>
      </left>
      <right style="thin">
        <color theme="0" tint="-0.14966277047029022"/>
      </right>
      <top/>
      <bottom style="thin">
        <color theme="0" tint="-0.14966277047029022"/>
      </bottom>
      <diagonal/>
    </border>
    <border>
      <left style="thin">
        <color theme="0" tint="-0.14972380748924222"/>
      </left>
      <right/>
      <top/>
      <bottom/>
      <diagonal/>
    </border>
    <border>
      <left style="thin">
        <color theme="0" tint="-0.14972380748924222"/>
      </left>
      <right/>
      <top/>
      <bottom style="thin">
        <color theme="0" tint="-0.14972380748924222"/>
      </bottom>
      <diagonal/>
    </border>
    <border>
      <left style="thin">
        <color theme="0" tint="-0.14972380748924222"/>
      </left>
      <right/>
      <top style="thin">
        <color theme="0" tint="-0.14972380748924222"/>
      </top>
      <bottom/>
      <diagonal/>
    </border>
    <border>
      <left style="thin">
        <color theme="0" tint="-0.1498458815271462"/>
      </left>
      <right/>
      <top style="thin">
        <color theme="0" tint="-0.1498458815271462"/>
      </top>
      <bottom/>
      <diagonal/>
    </border>
    <border>
      <left style="thin">
        <color theme="0" tint="-0.14957121494186223"/>
      </left>
      <right/>
      <top style="thin">
        <color theme="0" tint="-0.14957121494186223"/>
      </top>
      <bottom/>
      <diagonal/>
    </border>
    <border>
      <left style="thin">
        <color theme="0" tint="-0.14957121494186223"/>
      </left>
      <right/>
      <top/>
      <bottom/>
      <diagonal/>
    </border>
    <border>
      <left style="thin">
        <color theme="0" tint="-0.1498458815271462"/>
      </left>
      <right/>
      <top/>
      <bottom/>
      <diagonal/>
    </border>
    <border>
      <left style="thin">
        <color theme="0" tint="-0.14957121494186223"/>
      </left>
      <right/>
      <top/>
      <bottom style="thin">
        <color theme="0" tint="-0.14957121494186223"/>
      </bottom>
      <diagonal/>
    </border>
    <border>
      <left style="thin">
        <color theme="0" tint="-0.1498458815271462"/>
      </left>
      <right/>
      <top/>
      <bottom style="thin">
        <color theme="0" tint="-0.1498458815271462"/>
      </bottom>
      <diagonal/>
    </border>
    <border>
      <left/>
      <right style="thin">
        <color theme="0" tint="-0.14966277047029022"/>
      </right>
      <top style="thin">
        <color theme="0" tint="-0.14966277047029022"/>
      </top>
      <bottom style="thin">
        <color theme="0" tint="-0.149662770470290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60173345133823"/>
      </top>
      <bottom style="thin">
        <color theme="0" tint="-0.14960173345133823"/>
      </bottom>
      <diagonal/>
    </border>
    <border>
      <left style="thin">
        <color theme="0" tint="-0.14957121494186223"/>
      </left>
      <right style="thin">
        <color theme="0" tint="-0.14957121494186223"/>
      </right>
      <top/>
      <bottom style="thin">
        <color theme="0" tint="-0.14957121494186223"/>
      </bottom>
      <diagonal/>
    </border>
    <border>
      <left/>
      <right style="thin">
        <color theme="0" tint="-0.14957121494186223"/>
      </right>
      <top style="thin">
        <color theme="0" tint="-0.14957121494186223"/>
      </top>
      <bottom style="thin">
        <color theme="0" tint="-0.14957121494186223"/>
      </bottom>
      <diagonal/>
    </border>
    <border>
      <left style="thin">
        <color theme="0" tint="-0.14957121494186223"/>
      </left>
      <right/>
      <top style="thin">
        <color theme="0" tint="-0.14957121494186223"/>
      </top>
      <bottom style="thin">
        <color theme="0" tint="-0.14957121494186223"/>
      </bottom>
      <diagonal/>
    </border>
    <border>
      <left style="thin">
        <color theme="0" tint="-0.14954069643238624"/>
      </left>
      <right style="thin">
        <color theme="0" tint="-0.14954069643238624"/>
      </right>
      <top style="thin">
        <color theme="0" tint="-0.14954069643238624"/>
      </top>
      <bottom style="thin">
        <color theme="0" tint="-0.14954069643238624"/>
      </bottom>
      <diagonal/>
    </border>
    <border>
      <left style="thin">
        <color theme="0" tint="-0.14969328897976622"/>
      </left>
      <right style="thin">
        <color theme="0" tint="-0.14969328897976622"/>
      </right>
      <top style="thin">
        <color theme="0" tint="-0.14969328897976622"/>
      </top>
      <bottom style="thin">
        <color theme="0" tint="-0.14969328897976622"/>
      </bottom>
      <diagonal/>
    </border>
    <border>
      <left style="thin">
        <color theme="0" tint="-0.14972380748924222"/>
      </left>
      <right style="thin">
        <color theme="0" tint="-0.14972380748924222"/>
      </right>
      <top style="thin">
        <color theme="0" tint="-0.14972380748924222"/>
      </top>
      <bottom/>
      <diagonal/>
    </border>
    <border>
      <left style="thin">
        <color theme="0" tint="-0.14972380748924222"/>
      </left>
      <right style="thin">
        <color theme="0" tint="-0.14972380748924222"/>
      </right>
      <top/>
      <bottom style="thin">
        <color theme="0" tint="-0.14972380748924222"/>
      </bottom>
      <diagonal/>
    </border>
    <border>
      <left style="thin">
        <color theme="0" tint="-0.14966277047029022"/>
      </left>
      <right style="thin">
        <color theme="0" tint="-0.14966277047029022"/>
      </right>
      <top style="thin">
        <color theme="0" tint="-0.14966277047029022"/>
      </top>
      <bottom style="thin">
        <color theme="0" tint="-0.14966277047029022"/>
      </bottom>
      <diagonal/>
    </border>
    <border>
      <left style="thin">
        <color theme="0" tint="-0.14969328897976622"/>
      </left>
      <right/>
      <top style="thin">
        <color theme="0" tint="-0.14969328897976622"/>
      </top>
      <bottom style="thin">
        <color theme="0" tint="-0.14969328897976622"/>
      </bottom>
      <diagonal/>
    </border>
    <border>
      <left style="thin">
        <color theme="0" tint="-0.14960173345133823"/>
      </left>
      <right style="thin">
        <color theme="0" tint="-0.14960173345133823"/>
      </right>
      <top/>
      <bottom style="thin">
        <color theme="0" tint="-0.14960173345133823"/>
      </bottom>
      <diagonal/>
    </border>
    <border>
      <left style="thin">
        <color theme="0" tint="-0.14941862239448225"/>
      </left>
      <right style="thin">
        <color theme="0" tint="-0.14941862239448225"/>
      </right>
      <top style="thin">
        <color theme="0" tint="-0.14941862239448225"/>
      </top>
      <bottom/>
      <diagonal/>
    </border>
    <border>
      <left style="thin">
        <color theme="0" tint="-0.14941862239448225"/>
      </left>
      <right style="thin">
        <color theme="0" tint="-0.14941862239448225"/>
      </right>
      <top/>
      <bottom style="thin">
        <color theme="0" tint="-0.14941862239448225"/>
      </bottom>
      <diagonal/>
    </border>
    <border>
      <left style="thin">
        <color theme="0" tint="-0.14969328897976622"/>
      </left>
      <right style="thin">
        <color theme="0" tint="-0.14969328897976622"/>
      </right>
      <top/>
      <bottom style="thin">
        <color theme="0" tint="-0.14969328897976622"/>
      </bottom>
      <diagonal/>
    </border>
    <border>
      <left style="thin">
        <color theme="0" tint="-0.14941862239448225"/>
      </left>
      <right style="thin">
        <color theme="0" tint="-0.14941862239448225"/>
      </right>
      <top/>
      <bottom/>
      <diagonal/>
    </border>
    <border>
      <left style="thin">
        <color theme="0" tint="-0.14966277047029022"/>
      </left>
      <right/>
      <top/>
      <bottom style="thin">
        <color theme="0" tint="-0.14966277047029022"/>
      </bottom>
      <diagonal/>
    </border>
    <border>
      <left style="thin">
        <color theme="0" tint="-0.14966277047029022"/>
      </left>
      <right/>
      <top/>
      <bottom/>
      <diagonal/>
    </border>
    <border>
      <left style="thin">
        <color theme="0" tint="-0.14966277047029022"/>
      </left>
      <right/>
      <top style="thin">
        <color theme="0" tint="-0.14966277047029022"/>
      </top>
      <bottom/>
      <diagonal/>
    </border>
    <border>
      <left style="thin">
        <color theme="0" tint="-0.14963225196081423"/>
      </left>
      <right style="thin">
        <color theme="0" tint="-0.14963225196081423"/>
      </right>
      <top/>
      <bottom style="thin">
        <color theme="0" tint="-0.14963225196081423"/>
      </bottom>
      <diagonal/>
    </border>
    <border>
      <left style="thin">
        <color theme="0" tint="-0.14972380748924222"/>
      </left>
      <right style="thin">
        <color theme="0" tint="-0.14972380748924222"/>
      </right>
      <top/>
      <bottom/>
      <diagonal/>
    </border>
    <border>
      <left/>
      <right style="thin">
        <color theme="0" tint="-0.14966277047029022"/>
      </right>
      <top/>
      <bottom style="thin">
        <color theme="0" tint="-0.14966277047029022"/>
      </bottom>
      <diagonal/>
    </border>
    <border>
      <left style="thin">
        <color theme="0" tint="-0.14938810388500626"/>
      </left>
      <right/>
      <top style="thin">
        <color theme="0" tint="-0.14938810388500626"/>
      </top>
      <bottom style="thin">
        <color theme="0" tint="-0.14938810388500626"/>
      </bottom>
      <diagonal/>
    </border>
    <border>
      <left/>
      <right/>
      <top style="thin">
        <color theme="0" tint="-0.14938810388500626"/>
      </top>
      <bottom style="thin">
        <color theme="0" tint="-0.14938810388500626"/>
      </bottom>
      <diagonal/>
    </border>
    <border>
      <left/>
      <right style="thin">
        <color theme="0" tint="-0.14938810388500626"/>
      </right>
      <top style="thin">
        <color theme="0" tint="-0.14938810388500626"/>
      </top>
      <bottom style="thin">
        <color theme="0" tint="-0.14938810388500626"/>
      </bottom>
      <diagonal/>
    </border>
    <border>
      <left style="thin">
        <color theme="0" tint="-0.14935758537553026"/>
      </left>
      <right style="thin">
        <color theme="0" tint="-0.14935758537553026"/>
      </right>
      <top style="thin">
        <color theme="0" tint="-0.14935758537553026"/>
      </top>
      <bottom style="thin">
        <color theme="0" tint="-0.14935758537553026"/>
      </bottom>
      <diagonal/>
    </border>
    <border>
      <left style="thin">
        <color theme="0" tint="-0.14957121494186223"/>
      </left>
      <right style="thin">
        <color theme="0" tint="-0.14957121494186223"/>
      </right>
      <top style="thin">
        <color theme="0" tint="-0.14957121494186223"/>
      </top>
      <bottom/>
      <diagonal/>
    </border>
    <border>
      <left style="thin">
        <color theme="0" tint="-0.14957121494186223"/>
      </left>
      <right style="thin">
        <color theme="0" tint="-0.14957121494186223"/>
      </right>
      <top/>
      <bottom/>
      <diagonal/>
    </border>
    <border>
      <left/>
      <right/>
      <top/>
      <bottom style="thin">
        <color theme="0" tint="-0.14960173345133823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0218817712943"/>
      </right>
      <top style="thin">
        <color theme="0" tint="-0.1487777336954863"/>
      </top>
      <bottom style="thin">
        <color theme="0" tint="-0.1487777336954863"/>
      </bottom>
      <diagonal/>
    </border>
    <border>
      <left/>
      <right style="thin">
        <color theme="0" tint="-0.14999847407452621"/>
      </right>
      <top style="thin">
        <color theme="0" tint="-0.1487777336954863"/>
      </top>
      <bottom style="thin">
        <color theme="0" tint="-0.148777733695486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87777336954863"/>
      </top>
      <bottom style="thin">
        <color theme="0" tint="-0.1487777336954863"/>
      </bottom>
      <diagonal/>
    </border>
    <border>
      <left style="thin">
        <color theme="0" tint="-0.14999847407452621"/>
      </left>
      <right style="thin">
        <color theme="0" tint="-0.1487777336954863"/>
      </right>
      <top style="thin">
        <color theme="0" tint="-0.1487777336954863"/>
      </top>
      <bottom style="thin">
        <color theme="0" tint="-0.1487777336954863"/>
      </bottom>
      <diagonal/>
    </border>
    <border>
      <left/>
      <right style="thin">
        <color theme="0" tint="-0.14963225196081423"/>
      </right>
      <top/>
      <bottom style="thin">
        <color theme="0" tint="-0.14963225196081423"/>
      </bottom>
      <diagonal/>
    </border>
    <border>
      <left style="thin">
        <color theme="0" tint="-0.14960173345133823"/>
      </left>
      <right style="thin">
        <color theme="0" tint="-0.14960173345133823"/>
      </right>
      <top style="thin">
        <color theme="0" tint="-0.14960173345133823"/>
      </top>
      <bottom/>
      <diagonal/>
    </border>
    <border>
      <left/>
      <right style="thin">
        <color theme="0" tint="-0.14960173345133823"/>
      </right>
      <top style="thin">
        <color theme="0" tint="-0.14960173345133823"/>
      </top>
      <bottom/>
      <diagonal/>
    </border>
    <border>
      <left/>
      <right style="thin">
        <color theme="0" tint="-0.14960173345133823"/>
      </right>
      <top/>
      <bottom style="thin">
        <color theme="0" tint="-0.14960173345133823"/>
      </bottom>
      <diagonal/>
    </border>
    <border>
      <left style="thin">
        <color theme="0" tint="-0.14960173345133823"/>
      </left>
      <right style="thin">
        <color theme="0" tint="-0.14960173345133823"/>
      </right>
      <top/>
      <bottom/>
      <diagonal/>
    </border>
    <border>
      <left/>
      <right style="thin">
        <color theme="0" tint="-0.14960173345133823"/>
      </right>
      <top/>
      <bottom/>
      <diagonal/>
    </border>
  </borders>
  <cellStyleXfs count="4">
    <xf numFmtId="0" fontId="0" fillId="0" borderId="0"/>
    <xf numFmtId="0" fontId="6" fillId="0" borderId="0"/>
    <xf numFmtId="0" fontId="7" fillId="0" borderId="0"/>
    <xf numFmtId="0" fontId="7" fillId="0" borderId="0"/>
  </cellStyleXfs>
  <cellXfs count="86">
    <xf numFmtId="0" fontId="0" fillId="0" borderId="0" xfId="0"/>
    <xf numFmtId="0" fontId="0" fillId="3" borderId="0" xfId="0" applyFill="1"/>
    <xf numFmtId="0" fontId="1" fillId="3" borderId="0" xfId="0" applyFont="1" applyFill="1" applyAlignment="1">
      <alignment vertical="center"/>
    </xf>
    <xf numFmtId="0" fontId="4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wrapText="1"/>
    </xf>
    <xf numFmtId="0" fontId="6" fillId="3" borderId="0" xfId="1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wrapText="1"/>
    </xf>
    <xf numFmtId="0" fontId="0" fillId="3" borderId="0" xfId="0" applyFill="1" applyAlignment="1">
      <alignment horizontal="center"/>
    </xf>
    <xf numFmtId="0" fontId="5" fillId="3" borderId="0" xfId="0" applyFont="1" applyFill="1" applyBorder="1" applyAlignment="1">
      <alignment horizontal="center" vertical="center" wrapText="1"/>
    </xf>
    <xf numFmtId="0" fontId="10" fillId="3" borderId="0" xfId="0" applyFont="1" applyFill="1"/>
    <xf numFmtId="0" fontId="0" fillId="3" borderId="0" xfId="0" applyFill="1" applyAlignment="1">
      <alignment horizontal="center" vertical="center"/>
    </xf>
    <xf numFmtId="0" fontId="14" fillId="4" borderId="1" xfId="1" applyFont="1" applyFill="1" applyBorder="1" applyAlignment="1">
      <alignment horizontal="center" vertical="center"/>
    </xf>
    <xf numFmtId="0" fontId="0" fillId="3" borderId="0" xfId="0" applyFill="1" applyBorder="1"/>
    <xf numFmtId="0" fontId="0" fillId="3" borderId="3" xfId="0" applyFill="1" applyBorder="1"/>
    <xf numFmtId="0" fontId="19" fillId="6" borderId="4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 textRotation="90"/>
    </xf>
    <xf numFmtId="0" fontId="15" fillId="3" borderId="0" xfId="0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4" fillId="4" borderId="5" xfId="1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0" fontId="21" fillId="4" borderId="22" xfId="0" applyFont="1" applyFill="1" applyBorder="1" applyAlignment="1">
      <alignment horizontal="center" vertical="center" wrapText="1"/>
    </xf>
    <xf numFmtId="0" fontId="20" fillId="4" borderId="23" xfId="0" applyFont="1" applyFill="1" applyBorder="1" applyAlignment="1">
      <alignment horizontal="center" vertical="center" wrapText="1"/>
    </xf>
    <xf numFmtId="0" fontId="21" fillId="4" borderId="24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 wrapText="1"/>
    </xf>
    <xf numFmtId="0" fontId="21" fillId="4" borderId="26" xfId="0" applyFont="1" applyFill="1" applyBorder="1" applyAlignment="1">
      <alignment horizontal="center" vertical="center" wrapText="1"/>
    </xf>
    <xf numFmtId="0" fontId="21" fillId="4" borderId="27" xfId="0" applyFont="1" applyFill="1" applyBorder="1" applyAlignment="1">
      <alignment horizontal="center" vertical="center" wrapText="1"/>
    </xf>
    <xf numFmtId="0" fontId="21" fillId="4" borderId="31" xfId="0" applyFont="1" applyFill="1" applyBorder="1" applyAlignment="1">
      <alignment horizontal="center" vertical="center" wrapText="1"/>
    </xf>
    <xf numFmtId="0" fontId="21" fillId="4" borderId="30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center" vertical="center" wrapText="1"/>
    </xf>
    <xf numFmtId="0" fontId="21" fillId="4" borderId="35" xfId="0" applyFont="1" applyFill="1" applyBorder="1" applyAlignment="1">
      <alignment horizontal="center" vertical="center" wrapText="1"/>
    </xf>
    <xf numFmtId="0" fontId="20" fillId="4" borderId="40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 vertical="center" wrapText="1"/>
    </xf>
    <xf numFmtId="0" fontId="16" fillId="4" borderId="44" xfId="0" applyFont="1" applyFill="1" applyBorder="1" applyAlignment="1">
      <alignment horizontal="center" vertical="center" wrapText="1"/>
    </xf>
    <xf numFmtId="0" fontId="16" fillId="4" borderId="45" xfId="0" applyFont="1" applyFill="1" applyBorder="1" applyAlignment="1">
      <alignment horizontal="center" vertical="center" wrapText="1"/>
    </xf>
    <xf numFmtId="0" fontId="16" fillId="4" borderId="46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21" fillId="4" borderId="49" xfId="0" applyFont="1" applyFill="1" applyBorder="1" applyAlignment="1">
      <alignment horizontal="center" vertical="center" wrapText="1"/>
    </xf>
    <xf numFmtId="0" fontId="9" fillId="4" borderId="42" xfId="0" applyFont="1" applyFill="1" applyBorder="1" applyAlignment="1">
      <alignment horizontal="center" vertical="center" wrapText="1"/>
    </xf>
    <xf numFmtId="0" fontId="14" fillId="4" borderId="50" xfId="1" applyFont="1" applyFill="1" applyBorder="1" applyAlignment="1">
      <alignment horizontal="center" vertical="center"/>
    </xf>
    <xf numFmtId="0" fontId="14" fillId="4" borderId="51" xfId="1" applyFont="1" applyFill="1" applyBorder="1" applyAlignment="1">
      <alignment horizontal="center" vertical="center" wrapText="1"/>
    </xf>
    <xf numFmtId="0" fontId="14" fillId="4" borderId="52" xfId="1" applyFont="1" applyFill="1" applyBorder="1" applyAlignment="1">
      <alignment horizontal="center" vertical="center"/>
    </xf>
    <xf numFmtId="0" fontId="14" fillId="4" borderId="53" xfId="1" applyFont="1" applyFill="1" applyBorder="1" applyAlignment="1">
      <alignment horizontal="center" vertical="center"/>
    </xf>
    <xf numFmtId="0" fontId="14" fillId="4" borderId="54" xfId="1" applyFont="1" applyFill="1" applyBorder="1" applyAlignment="1">
      <alignment horizontal="center" vertical="center"/>
    </xf>
    <xf numFmtId="0" fontId="20" fillId="4" borderId="55" xfId="0" applyFont="1" applyFill="1" applyBorder="1" applyAlignment="1">
      <alignment horizontal="center" vertical="center" wrapText="1"/>
    </xf>
    <xf numFmtId="0" fontId="16" fillId="4" borderId="50" xfId="0" applyFont="1" applyFill="1" applyBorder="1" applyAlignment="1">
      <alignment horizontal="center" vertical="center" wrapText="1"/>
    </xf>
    <xf numFmtId="0" fontId="9" fillId="4" borderId="47" xfId="0" applyFont="1" applyFill="1" applyBorder="1" applyAlignment="1">
      <alignment horizontal="center" vertical="center" wrapText="1"/>
    </xf>
    <xf numFmtId="0" fontId="9" fillId="4" borderId="48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0" fontId="9" fillId="4" borderId="57" xfId="0" applyFont="1" applyFill="1" applyBorder="1" applyAlignment="1">
      <alignment horizontal="center" vertical="center" wrapText="1"/>
    </xf>
    <xf numFmtId="0" fontId="9" fillId="4" borderId="58" xfId="0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right" vertical="center" wrapText="1" indent="1"/>
    </xf>
    <xf numFmtId="0" fontId="12" fillId="2" borderId="0" xfId="0" applyFont="1" applyFill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right" vertical="center" wrapText="1" indent="1"/>
    </xf>
    <xf numFmtId="0" fontId="13" fillId="6" borderId="15" xfId="0" applyFont="1" applyFill="1" applyBorder="1" applyAlignment="1">
      <alignment horizontal="center" vertical="center" textRotation="90"/>
    </xf>
    <xf numFmtId="0" fontId="13" fillId="6" borderId="16" xfId="0" applyFont="1" applyFill="1" applyBorder="1" applyAlignment="1">
      <alignment horizontal="center" vertical="center" textRotation="90"/>
    </xf>
    <xf numFmtId="0" fontId="13" fillId="6" borderId="18" xfId="0" applyFont="1" applyFill="1" applyBorder="1" applyAlignment="1">
      <alignment horizontal="center" vertical="center" textRotation="90"/>
    </xf>
    <xf numFmtId="0" fontId="9" fillId="4" borderId="33" xfId="0" applyFont="1" applyFill="1" applyBorder="1" applyAlignment="1">
      <alignment horizontal="center" vertical="center" wrapText="1"/>
    </xf>
    <xf numFmtId="0" fontId="9" fillId="4" borderId="36" xfId="0" applyFont="1" applyFill="1" applyBorder="1" applyAlignment="1">
      <alignment horizontal="center" vertical="center" wrapText="1"/>
    </xf>
    <xf numFmtId="0" fontId="9" fillId="4" borderId="34" xfId="0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 textRotation="90"/>
    </xf>
    <xf numFmtId="0" fontId="13" fillId="6" borderId="11" xfId="0" applyFont="1" applyFill="1" applyBorder="1" applyAlignment="1">
      <alignment horizontal="center" vertical="center" textRotation="90"/>
    </xf>
    <xf numFmtId="0" fontId="13" fillId="6" borderId="12" xfId="0" applyFont="1" applyFill="1" applyBorder="1" applyAlignment="1">
      <alignment horizontal="center" vertical="center" textRotation="90"/>
    </xf>
    <xf numFmtId="0" fontId="15" fillId="4" borderId="8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/>
    </xf>
    <xf numFmtId="0" fontId="13" fillId="6" borderId="14" xfId="0" applyFont="1" applyFill="1" applyBorder="1" applyAlignment="1">
      <alignment horizontal="center" vertical="center" textRotation="90"/>
    </xf>
    <xf numFmtId="0" fontId="13" fillId="6" borderId="17" xfId="0" applyFont="1" applyFill="1" applyBorder="1" applyAlignment="1">
      <alignment horizontal="center" vertical="center" textRotation="90"/>
    </xf>
    <xf numFmtId="0" fontId="13" fillId="6" borderId="19" xfId="0" applyFont="1" applyFill="1" applyBorder="1" applyAlignment="1">
      <alignment horizontal="center" vertical="center" textRotation="90"/>
    </xf>
    <xf numFmtId="0" fontId="15" fillId="4" borderId="28" xfId="0" applyFont="1" applyFill="1" applyBorder="1" applyAlignment="1">
      <alignment horizontal="center" vertical="center" wrapText="1"/>
    </xf>
    <xf numFmtId="0" fontId="15" fillId="4" borderId="41" xfId="0" applyFont="1" applyFill="1" applyBorder="1" applyAlignment="1">
      <alignment horizontal="center" vertical="center" wrapText="1"/>
    </xf>
    <xf numFmtId="0" fontId="15" fillId="4" borderId="29" xfId="0" applyFont="1" applyFill="1" applyBorder="1" applyAlignment="1">
      <alignment horizontal="center" vertical="center" wrapText="1"/>
    </xf>
    <xf numFmtId="0" fontId="13" fillId="6" borderId="56" xfId="0" applyFont="1" applyFill="1" applyBorder="1" applyAlignment="1">
      <alignment horizontal="center" vertical="center" textRotation="90"/>
    </xf>
    <xf numFmtId="0" fontId="13" fillId="6" borderId="59" xfId="0" applyFont="1" applyFill="1" applyBorder="1" applyAlignment="1">
      <alignment horizontal="center" vertical="center" textRotation="90"/>
    </xf>
    <xf numFmtId="0" fontId="13" fillId="6" borderId="32" xfId="0" applyFont="1" applyFill="1" applyBorder="1" applyAlignment="1">
      <alignment horizontal="center" vertical="center" textRotation="90"/>
    </xf>
    <xf numFmtId="0" fontId="11" fillId="2" borderId="6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3" fillId="6" borderId="39" xfId="0" applyFont="1" applyFill="1" applyBorder="1" applyAlignment="1">
      <alignment horizontal="center" vertical="center" textRotation="90"/>
    </xf>
    <xf numFmtId="0" fontId="13" fillId="6" borderId="38" xfId="0" applyFont="1" applyFill="1" applyBorder="1" applyAlignment="1">
      <alignment horizontal="center" vertical="center" textRotation="90"/>
    </xf>
    <xf numFmtId="0" fontId="13" fillId="6" borderId="37" xfId="0" applyFont="1" applyFill="1" applyBorder="1" applyAlignment="1">
      <alignment horizontal="center" vertical="center" textRotation="90"/>
    </xf>
    <xf numFmtId="0" fontId="9" fillId="4" borderId="60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3"/>
    <cellStyle name="Normal 5" xfId="2"/>
  </cellStyles>
  <dxfs count="0"/>
  <tableStyles count="0" defaultTableStyle="TableStyleMedium2" defaultPivotStyle="PivotStyleLight16"/>
  <colors>
    <mruColors>
      <color rgb="FF171717"/>
      <color rgb="FFEAEAEA"/>
      <color rgb="FFE54026"/>
      <color rgb="FFFFFFFF"/>
      <color rgb="FFFAFAFA"/>
      <color rgb="FF0F0F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192894</xdr:colOff>
      <xdr:row>0</xdr:row>
      <xdr:rowOff>47625</xdr:rowOff>
    </xdr:from>
    <xdr:to>
      <xdr:col>1</xdr:col>
      <xdr:colOff>685801</xdr:colOff>
      <xdr:row>0</xdr:row>
      <xdr:rowOff>684661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894" y="47625"/>
          <a:ext cx="711982" cy="63703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oneCellAnchor>
    <xdr:from>
      <xdr:col>1</xdr:col>
      <xdr:colOff>34739</xdr:colOff>
      <xdr:row>13</xdr:row>
      <xdr:rowOff>19050</xdr:rowOff>
    </xdr:from>
    <xdr:ext cx="800100" cy="533404"/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814" y="8972550"/>
          <a:ext cx="800100" cy="53340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tabSelected="1" view="pageBreakPreview" topLeftCell="A22" zoomScaleNormal="100" zoomScaleSheetLayoutView="100" workbookViewId="0">
      <selection activeCell="E40" sqref="E40"/>
    </sheetView>
  </sheetViews>
  <sheetFormatPr defaultRowHeight="15"/>
  <cols>
    <col min="1" max="1" width="3.28515625" style="1" customWidth="1"/>
    <col min="2" max="2" width="12.7109375" style="1" customWidth="1"/>
    <col min="3" max="3" width="43.5703125" style="1" customWidth="1"/>
    <col min="4" max="7" width="10.42578125" style="1" customWidth="1"/>
    <col min="8" max="16384" width="9.140625" style="1"/>
  </cols>
  <sheetData>
    <row r="1" spans="1:20" ht="54.75" customHeight="1">
      <c r="C1" s="55" t="s">
        <v>23</v>
      </c>
      <c r="D1" s="55"/>
      <c r="E1" s="55"/>
      <c r="F1" s="55"/>
      <c r="G1" s="55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14"/>
      <c r="B2" s="14"/>
      <c r="C2" s="14"/>
      <c r="D2" s="14"/>
      <c r="E2" s="14"/>
      <c r="F2" s="14"/>
      <c r="G2" s="14"/>
    </row>
    <row r="3" spans="1:20" s="10" customFormat="1" ht="28.5" customHeight="1">
      <c r="A3" s="56" t="s">
        <v>1</v>
      </c>
      <c r="B3" s="56"/>
      <c r="C3" s="20" t="s">
        <v>2</v>
      </c>
      <c r="D3" s="20" t="s">
        <v>3</v>
      </c>
      <c r="E3" s="20" t="s">
        <v>4</v>
      </c>
      <c r="F3" s="20" t="s">
        <v>5</v>
      </c>
      <c r="G3" s="20" t="s">
        <v>6</v>
      </c>
    </row>
    <row r="4" spans="1:20" s="13" customFormat="1" ht="4.5" customHeight="1">
      <c r="A4" s="17"/>
      <c r="B4" s="18"/>
      <c r="C4" s="19"/>
      <c r="D4" s="19"/>
      <c r="E4" s="19"/>
      <c r="F4" s="19"/>
      <c r="G4" s="19"/>
    </row>
    <row r="5" spans="1:20" s="13" customFormat="1" ht="18.75" customHeight="1">
      <c r="A5" s="58">
        <v>1</v>
      </c>
      <c r="B5" s="61" t="s">
        <v>14</v>
      </c>
      <c r="C5" s="21" t="s">
        <v>26</v>
      </c>
      <c r="D5" s="12">
        <v>32</v>
      </c>
      <c r="E5" s="12">
        <v>7.7</v>
      </c>
      <c r="F5" s="12">
        <v>0.4</v>
      </c>
      <c r="G5" s="12">
        <v>0.2</v>
      </c>
    </row>
    <row r="6" spans="1:20" s="13" customFormat="1" ht="18.75" customHeight="1">
      <c r="A6" s="59"/>
      <c r="B6" s="62"/>
      <c r="C6" s="35" t="s">
        <v>27</v>
      </c>
      <c r="D6" s="38">
        <v>144</v>
      </c>
      <c r="E6" s="36">
        <v>12.6</v>
      </c>
      <c r="F6" s="38">
        <v>0.8</v>
      </c>
      <c r="G6" s="37">
        <v>10</v>
      </c>
    </row>
    <row r="7" spans="1:20" s="13" customFormat="1" ht="18.75" customHeight="1">
      <c r="A7" s="59"/>
      <c r="B7" s="62"/>
      <c r="C7" s="22" t="s">
        <v>28</v>
      </c>
      <c r="D7" s="16">
        <v>160</v>
      </c>
      <c r="E7" s="16">
        <v>8</v>
      </c>
      <c r="F7" s="16">
        <v>28</v>
      </c>
      <c r="G7" s="16">
        <v>0.2</v>
      </c>
    </row>
    <row r="8" spans="1:20" s="13" customFormat="1" ht="18.75" customHeight="1">
      <c r="A8" s="59"/>
      <c r="B8" s="62"/>
      <c r="C8" s="22" t="s">
        <v>32</v>
      </c>
      <c r="D8" s="16">
        <v>44</v>
      </c>
      <c r="E8" s="16">
        <v>0</v>
      </c>
      <c r="F8" s="16">
        <v>11</v>
      </c>
      <c r="G8" s="16">
        <v>0</v>
      </c>
    </row>
    <row r="9" spans="1:20" s="13" customFormat="1" ht="18.75" customHeight="1">
      <c r="A9" s="59"/>
      <c r="B9" s="62"/>
      <c r="C9" s="22" t="s">
        <v>39</v>
      </c>
      <c r="D9" s="16">
        <v>0</v>
      </c>
      <c r="E9" s="16">
        <v>0</v>
      </c>
      <c r="F9" s="16">
        <v>0</v>
      </c>
      <c r="G9" s="16">
        <v>0</v>
      </c>
    </row>
    <row r="10" spans="1:20" s="13" customFormat="1" ht="18.75" customHeight="1">
      <c r="A10" s="59"/>
      <c r="B10" s="62"/>
      <c r="C10" s="22" t="s">
        <v>40</v>
      </c>
      <c r="D10" s="16">
        <v>5</v>
      </c>
      <c r="E10" s="16">
        <v>0</v>
      </c>
      <c r="F10" s="16">
        <v>5</v>
      </c>
      <c r="G10" s="16">
        <v>0</v>
      </c>
    </row>
    <row r="11" spans="1:20" s="13" customFormat="1" ht="18.75" customHeight="1">
      <c r="A11" s="59"/>
      <c r="B11" s="63"/>
      <c r="C11" s="21" t="s">
        <v>38</v>
      </c>
      <c r="D11" s="12">
        <v>0</v>
      </c>
      <c r="E11" s="12">
        <v>0</v>
      </c>
      <c r="F11" s="12">
        <v>0</v>
      </c>
      <c r="G11" s="12">
        <v>0</v>
      </c>
    </row>
    <row r="12" spans="1:20" s="13" customFormat="1" ht="18.75" customHeight="1">
      <c r="A12" s="60"/>
      <c r="B12" s="32" t="s">
        <v>10</v>
      </c>
      <c r="C12" s="39" t="s">
        <v>11</v>
      </c>
      <c r="D12" s="33">
        <f>SUM(D4:D11)</f>
        <v>385</v>
      </c>
      <c r="E12" s="33">
        <f>SUM(E4:E11)</f>
        <v>28.3</v>
      </c>
      <c r="F12" s="40">
        <f>SUM(F4:F11)</f>
        <v>45.2</v>
      </c>
      <c r="G12" s="33">
        <f>SUM(G4:G11)</f>
        <v>10.399999999999999</v>
      </c>
      <c r="H12" s="1"/>
    </row>
    <row r="13" spans="1:20" s="13" customFormat="1" ht="5.0999999999999996" customHeight="1">
      <c r="A13" s="17"/>
      <c r="B13" s="18"/>
      <c r="C13" s="19"/>
      <c r="D13" s="19"/>
      <c r="E13" s="19"/>
      <c r="F13" s="19"/>
      <c r="G13" s="19"/>
      <c r="H13" s="8"/>
      <c r="I13" s="8"/>
    </row>
    <row r="14" spans="1:20" s="8" customFormat="1" ht="45" customHeight="1">
      <c r="A14" s="79" t="s">
        <v>17</v>
      </c>
      <c r="B14" s="80"/>
      <c r="C14" s="80"/>
      <c r="D14" s="80"/>
      <c r="E14" s="80"/>
      <c r="F14" s="80"/>
      <c r="G14" s="81"/>
      <c r="H14" s="13"/>
      <c r="I14" s="13"/>
    </row>
    <row r="15" spans="1:20" s="13" customFormat="1" ht="5.0999999999999996" customHeight="1">
      <c r="A15" s="17"/>
      <c r="B15" s="18"/>
      <c r="C15" s="19"/>
      <c r="D15" s="19"/>
      <c r="E15" s="19"/>
      <c r="F15" s="19"/>
      <c r="G15" s="19"/>
    </row>
    <row r="16" spans="1:20" s="13" customFormat="1" ht="18.75" customHeight="1">
      <c r="A16" s="82">
        <v>2</v>
      </c>
      <c r="B16" s="49" t="s">
        <v>21</v>
      </c>
      <c r="C16" s="22" t="s">
        <v>24</v>
      </c>
      <c r="D16" s="16">
        <v>200</v>
      </c>
      <c r="E16" s="16">
        <v>44</v>
      </c>
      <c r="F16" s="16">
        <v>4</v>
      </c>
      <c r="G16" s="16">
        <v>0</v>
      </c>
    </row>
    <row r="17" spans="1:9" s="13" customFormat="1" ht="18.75" customHeight="1">
      <c r="A17" s="83"/>
      <c r="B17" s="50"/>
      <c r="C17" s="22" t="s">
        <v>34</v>
      </c>
      <c r="D17" s="16">
        <v>102</v>
      </c>
      <c r="E17" s="16">
        <v>8.1999999999999993</v>
      </c>
      <c r="F17" s="16">
        <v>12.2</v>
      </c>
      <c r="G17" s="16">
        <v>2.4</v>
      </c>
    </row>
    <row r="18" spans="1:9" s="13" customFormat="1" ht="18.75" customHeight="1">
      <c r="A18" s="83"/>
      <c r="B18" s="50"/>
      <c r="C18" s="22" t="s">
        <v>30</v>
      </c>
      <c r="D18" s="16">
        <v>121</v>
      </c>
      <c r="E18" s="16">
        <v>1.4</v>
      </c>
      <c r="F18" s="16">
        <v>31</v>
      </c>
      <c r="G18" s="16">
        <v>0.5</v>
      </c>
    </row>
    <row r="19" spans="1:9" s="13" customFormat="1" ht="18.75" customHeight="1">
      <c r="A19" s="83"/>
      <c r="B19" s="50"/>
      <c r="C19" s="21" t="s">
        <v>31</v>
      </c>
      <c r="D19" s="12">
        <v>57</v>
      </c>
      <c r="E19" s="12">
        <v>0.7</v>
      </c>
      <c r="F19" s="12">
        <v>12.1</v>
      </c>
      <c r="G19" s="12">
        <v>0.4</v>
      </c>
    </row>
    <row r="20" spans="1:9" s="13" customFormat="1" ht="18.75" customHeight="1">
      <c r="A20" s="83"/>
      <c r="B20" s="51"/>
      <c r="C20" s="21" t="s">
        <v>18</v>
      </c>
      <c r="D20" s="12">
        <v>0</v>
      </c>
      <c r="E20" s="12">
        <v>0</v>
      </c>
      <c r="F20" s="12">
        <v>0</v>
      </c>
      <c r="G20" s="12">
        <v>0</v>
      </c>
    </row>
    <row r="21" spans="1:9" s="13" customFormat="1" ht="18.75" customHeight="1">
      <c r="A21" s="84"/>
      <c r="B21" s="34" t="s">
        <v>10</v>
      </c>
      <c r="C21" s="41" t="s">
        <v>12</v>
      </c>
      <c r="D21" s="23">
        <f>SUM(D16:D20)</f>
        <v>480</v>
      </c>
      <c r="E21" s="23">
        <f>SUM(E16:E20)</f>
        <v>54.300000000000004</v>
      </c>
      <c r="F21" s="23">
        <f>SUM(F16:F20)</f>
        <v>59.300000000000004</v>
      </c>
      <c r="G21" s="23">
        <f>SUM(G16:G20)</f>
        <v>3.3</v>
      </c>
    </row>
    <row r="22" spans="1:9" s="13" customFormat="1" ht="4.5" customHeight="1">
      <c r="A22" s="17"/>
      <c r="B22" s="18"/>
      <c r="C22" s="19"/>
      <c r="D22" s="19"/>
      <c r="E22" s="19"/>
      <c r="F22" s="19"/>
      <c r="G22" s="19"/>
      <c r="H22" s="1"/>
      <c r="I22" s="8"/>
    </row>
    <row r="23" spans="1:9" ht="18.75" customHeight="1">
      <c r="A23" s="64">
        <v>3</v>
      </c>
      <c r="B23" s="67" t="s">
        <v>0</v>
      </c>
      <c r="C23" s="22" t="s">
        <v>43</v>
      </c>
      <c r="D23" s="16">
        <v>339</v>
      </c>
      <c r="E23" s="16">
        <v>57</v>
      </c>
      <c r="F23" s="16">
        <v>0</v>
      </c>
      <c r="G23" s="16">
        <v>9.8000000000000007</v>
      </c>
    </row>
    <row r="24" spans="1:9" ht="24">
      <c r="A24" s="65"/>
      <c r="B24" s="68"/>
      <c r="C24" s="21" t="s">
        <v>22</v>
      </c>
      <c r="D24" s="12">
        <v>62</v>
      </c>
      <c r="E24" s="12">
        <v>2.9</v>
      </c>
      <c r="F24" s="12">
        <v>11</v>
      </c>
      <c r="G24" s="12">
        <v>0.5</v>
      </c>
    </row>
    <row r="25" spans="1:9" ht="18.75" customHeight="1">
      <c r="A25" s="65"/>
      <c r="B25" s="68"/>
      <c r="C25" s="21" t="s">
        <v>25</v>
      </c>
      <c r="D25" s="12">
        <v>30</v>
      </c>
      <c r="E25" s="12">
        <v>0</v>
      </c>
      <c r="F25" s="12">
        <v>6</v>
      </c>
      <c r="G25" s="12">
        <v>0</v>
      </c>
    </row>
    <row r="26" spans="1:9" ht="18.75" customHeight="1">
      <c r="A26" s="65"/>
      <c r="B26" s="68"/>
      <c r="C26" s="21" t="s">
        <v>29</v>
      </c>
      <c r="D26" s="12">
        <v>53</v>
      </c>
      <c r="E26" s="12">
        <v>2.8</v>
      </c>
      <c r="F26" s="12">
        <v>0.8</v>
      </c>
      <c r="G26" s="12">
        <v>4.3</v>
      </c>
    </row>
    <row r="27" spans="1:9" ht="18.75" customHeight="1">
      <c r="A27" s="65"/>
      <c r="B27" s="69"/>
      <c r="C27" s="21" t="s">
        <v>19</v>
      </c>
      <c r="D27" s="12">
        <v>0</v>
      </c>
      <c r="E27" s="12">
        <v>0</v>
      </c>
      <c r="F27" s="12">
        <v>0</v>
      </c>
      <c r="G27" s="12">
        <v>0</v>
      </c>
      <c r="H27" s="13"/>
    </row>
    <row r="28" spans="1:9" s="13" customFormat="1" ht="18.75" customHeight="1">
      <c r="A28" s="66"/>
      <c r="B28" s="32" t="s">
        <v>10</v>
      </c>
      <c r="C28" s="39" t="s">
        <v>13</v>
      </c>
      <c r="D28" s="29">
        <f>SUM(D22:D27)</f>
        <v>484</v>
      </c>
      <c r="E28" s="24">
        <f>SUM(E22:E27)</f>
        <v>62.699999999999996</v>
      </c>
      <c r="F28" s="30">
        <f>SUM(F22:F27)</f>
        <v>17.8</v>
      </c>
      <c r="G28" s="31">
        <f>SUM(G22:G27)</f>
        <v>14.600000000000001</v>
      </c>
      <c r="H28" s="11"/>
    </row>
    <row r="29" spans="1:9" s="13" customFormat="1" ht="4.5" customHeight="1">
      <c r="A29" s="17"/>
      <c r="B29" s="18"/>
      <c r="C29" s="19"/>
      <c r="D29" s="19"/>
      <c r="E29" s="19"/>
      <c r="F29" s="19"/>
      <c r="G29" s="19"/>
      <c r="H29" s="11"/>
      <c r="I29" s="11"/>
    </row>
    <row r="30" spans="1:9" s="11" customFormat="1" ht="18.75" customHeight="1">
      <c r="A30" s="70">
        <v>4</v>
      </c>
      <c r="B30" s="73" t="s">
        <v>7</v>
      </c>
      <c r="C30" s="43" t="s">
        <v>41</v>
      </c>
      <c r="D30" s="44">
        <v>268</v>
      </c>
      <c r="E30" s="45">
        <v>58</v>
      </c>
      <c r="F30" s="45">
        <v>0</v>
      </c>
      <c r="G30" s="46">
        <v>3.3</v>
      </c>
    </row>
    <row r="31" spans="1:9" s="11" customFormat="1">
      <c r="A31" s="71"/>
      <c r="B31" s="74"/>
      <c r="C31" s="22" t="s">
        <v>37</v>
      </c>
      <c r="D31" s="16">
        <v>190</v>
      </c>
      <c r="E31" s="16">
        <v>3.4</v>
      </c>
      <c r="F31" s="16">
        <v>44.3</v>
      </c>
      <c r="G31" s="48">
        <v>0.2</v>
      </c>
    </row>
    <row r="32" spans="1:9" s="11" customFormat="1" ht="24">
      <c r="A32" s="71"/>
      <c r="B32" s="74"/>
      <c r="C32" s="21" t="s">
        <v>20</v>
      </c>
      <c r="D32" s="12">
        <v>34</v>
      </c>
      <c r="E32" s="12">
        <v>2.8</v>
      </c>
      <c r="F32" s="12">
        <v>6.6</v>
      </c>
      <c r="G32" s="42">
        <v>0.3</v>
      </c>
    </row>
    <row r="33" spans="1:9" s="11" customFormat="1">
      <c r="A33" s="71"/>
      <c r="B33" s="74"/>
      <c r="C33" s="21" t="s">
        <v>36</v>
      </c>
      <c r="D33" s="12">
        <v>51</v>
      </c>
      <c r="E33" s="12">
        <v>0</v>
      </c>
      <c r="F33" s="12">
        <v>0</v>
      </c>
      <c r="G33" s="42">
        <v>5.8</v>
      </c>
    </row>
    <row r="34" spans="1:9" s="11" customFormat="1" ht="18.75" customHeight="1">
      <c r="A34" s="71"/>
      <c r="B34" s="74"/>
      <c r="C34" s="21" t="s">
        <v>19</v>
      </c>
      <c r="D34" s="12">
        <v>0</v>
      </c>
      <c r="E34" s="12">
        <v>0</v>
      </c>
      <c r="F34" s="12">
        <v>0</v>
      </c>
      <c r="G34" s="12">
        <v>0</v>
      </c>
    </row>
    <row r="35" spans="1:9" s="11" customFormat="1" ht="18.75" customHeight="1">
      <c r="A35" s="71"/>
      <c r="B35" s="75"/>
      <c r="C35" s="21" t="s">
        <v>38</v>
      </c>
      <c r="D35" s="12">
        <v>0</v>
      </c>
      <c r="E35" s="12">
        <v>0</v>
      </c>
      <c r="F35" s="12">
        <v>0</v>
      </c>
      <c r="G35" s="12">
        <v>0</v>
      </c>
    </row>
    <row r="36" spans="1:9" s="11" customFormat="1" ht="18.75" customHeight="1">
      <c r="A36" s="72"/>
      <c r="B36" s="25" t="s">
        <v>10</v>
      </c>
      <c r="C36" s="39" t="s">
        <v>35</v>
      </c>
      <c r="D36" s="26">
        <f>SUM(D30:D35)</f>
        <v>543</v>
      </c>
      <c r="E36" s="24">
        <f>SUM(E30:E35)</f>
        <v>64.2</v>
      </c>
      <c r="F36" s="27">
        <f>SUM(F30:F35)</f>
        <v>50.9</v>
      </c>
      <c r="G36" s="28">
        <f>SUM(G30:G35)</f>
        <v>9.6</v>
      </c>
    </row>
    <row r="37" spans="1:9" s="13" customFormat="1" ht="5.0999999999999996" customHeight="1">
      <c r="A37" s="17"/>
      <c r="B37" s="18"/>
      <c r="C37" s="19"/>
      <c r="D37" s="19"/>
      <c r="E37" s="19"/>
      <c r="F37" s="19"/>
      <c r="G37" s="19"/>
    </row>
    <row r="38" spans="1:9" s="13" customFormat="1" ht="18.75" customHeight="1">
      <c r="A38" s="76">
        <v>5</v>
      </c>
      <c r="B38" s="52" t="s">
        <v>16</v>
      </c>
      <c r="C38" s="22" t="s">
        <v>42</v>
      </c>
      <c r="D38" s="16">
        <v>328</v>
      </c>
      <c r="E38" s="16">
        <v>18</v>
      </c>
      <c r="F38" s="16">
        <v>53</v>
      </c>
      <c r="G38" s="16">
        <v>7</v>
      </c>
    </row>
    <row r="39" spans="1:9" s="13" customFormat="1" ht="18.75" customHeight="1">
      <c r="A39" s="77"/>
      <c r="B39" s="85"/>
      <c r="C39" s="21" t="s">
        <v>31</v>
      </c>
      <c r="D39" s="12">
        <v>57</v>
      </c>
      <c r="E39" s="12">
        <v>0.7</v>
      </c>
      <c r="F39" s="12">
        <v>12.1</v>
      </c>
      <c r="G39" s="12">
        <v>0.4</v>
      </c>
    </row>
    <row r="40" spans="1:9" s="13" customFormat="1" ht="18.75" customHeight="1">
      <c r="A40" s="77"/>
      <c r="B40" s="53"/>
      <c r="C40" s="21" t="s">
        <v>33</v>
      </c>
      <c r="D40" s="12">
        <v>68</v>
      </c>
      <c r="E40" s="12">
        <v>0</v>
      </c>
      <c r="F40" s="12">
        <v>0</v>
      </c>
      <c r="G40" s="12">
        <v>7.7</v>
      </c>
    </row>
    <row r="41" spans="1:9" s="13" customFormat="1" ht="18.75" customHeight="1">
      <c r="A41" s="78"/>
      <c r="B41" s="47" t="s">
        <v>10</v>
      </c>
      <c r="C41" s="41" t="s">
        <v>15</v>
      </c>
      <c r="D41" s="23">
        <f>SUM(D38:D40)</f>
        <v>453</v>
      </c>
      <c r="E41" s="23">
        <f t="shared" ref="E41:G41" si="0">SUM(E38:E40)</f>
        <v>18.7</v>
      </c>
      <c r="F41" s="23">
        <f t="shared" si="0"/>
        <v>65.099999999999994</v>
      </c>
      <c r="G41" s="23">
        <f t="shared" si="0"/>
        <v>15.100000000000001</v>
      </c>
    </row>
    <row r="42" spans="1:9" s="13" customFormat="1" ht="4.5" customHeight="1">
      <c r="A42" s="17"/>
      <c r="B42" s="18"/>
      <c r="C42" s="19"/>
      <c r="D42" s="19"/>
      <c r="E42" s="19"/>
      <c r="F42" s="19"/>
      <c r="G42" s="19"/>
      <c r="H42" s="1"/>
      <c r="I42" s="1"/>
    </row>
    <row r="43" spans="1:9" ht="30" customHeight="1">
      <c r="A43" s="57" t="s">
        <v>9</v>
      </c>
      <c r="B43" s="57"/>
      <c r="C43" s="57"/>
      <c r="D43" s="15">
        <f>SUM(,D12,D28,D36,D41,D21)</f>
        <v>2345</v>
      </c>
      <c r="E43" s="15">
        <f>SUM(,E12,E28,E36,E41,E21)</f>
        <v>228.2</v>
      </c>
      <c r="F43" s="15">
        <f>SUM(,F12,F28,F36,F41,F21)</f>
        <v>238.3</v>
      </c>
      <c r="G43" s="15">
        <f>SUM(,G12,G28,G36,G41,G21)</f>
        <v>53</v>
      </c>
    </row>
    <row r="44" spans="1:9" ht="30" customHeight="1">
      <c r="A44" s="54" t="s">
        <v>8</v>
      </c>
      <c r="B44" s="54"/>
      <c r="C44" s="54"/>
      <c r="D44" s="15">
        <v>2340</v>
      </c>
      <c r="E44" s="15">
        <v>234</v>
      </c>
      <c r="F44" s="15">
        <v>234</v>
      </c>
      <c r="G44" s="15">
        <v>52</v>
      </c>
    </row>
    <row r="45" spans="1:9" ht="15.75">
      <c r="B45" s="4"/>
      <c r="C45" s="6"/>
      <c r="D45" s="6"/>
      <c r="E45" s="6"/>
      <c r="F45" s="6"/>
      <c r="G45" s="6"/>
    </row>
    <row r="46" spans="1:9" ht="15.75">
      <c r="B46" s="4"/>
      <c r="C46" s="6"/>
      <c r="D46" s="6"/>
      <c r="E46" s="6"/>
      <c r="F46" s="6"/>
      <c r="G46" s="6"/>
    </row>
    <row r="47" spans="1:9" ht="15.75">
      <c r="B47" s="9"/>
      <c r="C47" s="5"/>
      <c r="D47" s="5"/>
      <c r="E47" s="5"/>
      <c r="F47" s="5"/>
      <c r="G47" s="5"/>
    </row>
    <row r="48" spans="1:9" ht="15.75">
      <c r="B48" s="4"/>
      <c r="C48" s="5"/>
      <c r="D48" s="5"/>
      <c r="E48" s="5"/>
      <c r="F48" s="5"/>
      <c r="G48" s="5"/>
    </row>
    <row r="49" spans="2:7" ht="15.75">
      <c r="B49" s="4"/>
      <c r="C49" s="7"/>
      <c r="D49" s="5"/>
      <c r="E49" s="5"/>
      <c r="F49" s="5"/>
      <c r="G49" s="5"/>
    </row>
    <row r="50" spans="2:7" ht="15.75">
      <c r="B50" s="4"/>
      <c r="C50" s="7"/>
      <c r="D50" s="5"/>
      <c r="E50" s="5"/>
      <c r="F50" s="5"/>
      <c r="G50" s="5"/>
    </row>
    <row r="51" spans="2:7" ht="15.75">
      <c r="B51" s="9"/>
      <c r="C51" s="5"/>
      <c r="D51" s="5"/>
      <c r="E51" s="5"/>
      <c r="F51" s="5"/>
      <c r="G51" s="5"/>
    </row>
    <row r="52" spans="2:7" ht="15.75">
      <c r="B52" s="9"/>
      <c r="C52" s="5"/>
      <c r="D52" s="5"/>
      <c r="E52" s="5"/>
      <c r="F52" s="5"/>
      <c r="G52" s="5"/>
    </row>
    <row r="53" spans="2:7" ht="15.75">
      <c r="B53" s="4"/>
      <c r="C53" s="5"/>
      <c r="D53" s="5"/>
      <c r="E53" s="5"/>
      <c r="F53" s="5"/>
      <c r="G53" s="5"/>
    </row>
    <row r="54" spans="2:7" ht="15.75">
      <c r="B54" s="9"/>
      <c r="C54" s="3"/>
      <c r="D54" s="3"/>
      <c r="E54" s="3"/>
      <c r="F54" s="3"/>
      <c r="G54" s="3"/>
    </row>
  </sheetData>
  <mergeCells count="15">
    <mergeCell ref="B16:B20"/>
    <mergeCell ref="B38:B40"/>
    <mergeCell ref="A44:C44"/>
    <mergeCell ref="C1:G1"/>
    <mergeCell ref="A3:B3"/>
    <mergeCell ref="A43:C43"/>
    <mergeCell ref="A5:A12"/>
    <mergeCell ref="B5:B11"/>
    <mergeCell ref="A23:A28"/>
    <mergeCell ref="B23:B27"/>
    <mergeCell ref="A30:A36"/>
    <mergeCell ref="B30:B35"/>
    <mergeCell ref="A38:A41"/>
    <mergeCell ref="A14:G14"/>
    <mergeCell ref="A16:A21"/>
  </mergeCells>
  <pageMargins left="0.25" right="0.25" top="0.25" bottom="0.25" header="0" footer="0"/>
  <pageSetup scale="95" fitToWidth="0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Ordonez</dc:creator>
  <cp:lastModifiedBy>Nico Reifer</cp:lastModifiedBy>
  <cp:lastPrinted>2015-09-15T03:02:44Z</cp:lastPrinted>
  <dcterms:created xsi:type="dcterms:W3CDTF">2013-05-27T17:16:22Z</dcterms:created>
  <dcterms:modified xsi:type="dcterms:W3CDTF">2015-10-14T19:28:21Z</dcterms:modified>
</cp:coreProperties>
</file>